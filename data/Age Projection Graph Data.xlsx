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https://cflouisville-my.sharepoint.com/personal/morganb_cflouisville_org/Documents/accessible_housing/data/"/>
    </mc:Choice>
  </mc:AlternateContent>
  <xr:revisionPtr revIDLastSave="44" documentId="8_{ACD38A39-B84F-4FA4-B084-9D8467081CE4}" xr6:coauthVersionLast="47" xr6:coauthVersionMax="47" xr10:uidLastSave="{AB6BE46C-CD39-4E5F-B4E2-8EA98C56843C}"/>
  <bookViews>
    <workbookView minimized="1" xWindow="520" yWindow="1850" windowWidth="7980" windowHeight="10460" activeTab="1" xr2:uid="{00000000-000D-0000-FFFF-FFFF00000000}"/>
  </bookViews>
  <sheets>
    <sheet name="65+" sheetId="1" r:id="rId1"/>
    <sheet name="80+" sheetId="3" r:id="rId2"/>
    <sheet name="Disability 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tc={95EB8E35-9BDE-4A44-A495-9FCAC26A2EFF}</author>
  </authors>
  <commentList>
    <comment ref="B1" authorId="0" shapeId="0" xr:uid="{95EB8E35-9BDE-4A44-A495-9FCAC26A2EFF}">
      <text>
        <t>[Threaded comment]
Your version of Excel allows you to read this threaded comment; however, any edits to it will get removed if the file is opened in a newer version of Excel. Learn more: https://go.microsoft.com/fwlink/?linkid=870924
Comment:
    65 Plus</t>
      </text>
    </comment>
  </commentList>
</comments>
</file>

<file path=xl/sharedStrings.xml><?xml version="1.0" encoding="utf-8"?>
<sst xmlns="http://schemas.openxmlformats.org/spreadsheetml/2006/main" count="6" uniqueCount="3">
  <si>
    <t>Percent</t>
  </si>
  <si>
    <t>Total</t>
  </si>
  <si>
    <t xml:space="preserve">Percent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</si>
</sst>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Montserrat"/>
      <family val="2"/>
      <scheme val="minor"/>
    </font>
    <font>
      <b/>
      <sz val="11"/>
      <color theme="1"/>
      <name val="Montserrat"/>
      <family val="2"/>
      <scheme val="minor"/>
    </font>
    <font>
      <sz val="9"/>
      <color indexed="81"/>
      <name val="Tahoma"/>
      <family val="2"/>
    </font>
    <font>
      <b/>
      <sz val="11"/>
      <color theme="1"/>
      <name val="Montserrat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40154"/>
      <color rgb="FF8B0154"/>
      <color rgb="FFFF6600"/>
      <color rgb="FFFFCC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Montserrat" panose="00000500000000000000" pitchFamily="2" charset="0"/>
              </a:rPr>
              <a:t>Populaton and Percent of Population Aged 65 or Older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'65+'!$B$1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0154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44015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'65+'!$A$2:$A$11</c:f>
              <c:numCache>
                <c:formatCode>General</c:formatCode>
                <c:ptCount val="10"/>
                <c:pt idx="0">
                  <c:v>1960</c:v>
                </c:pt>
                <c:pt idx="1">
                  <c:v>1970</c:v>
                </c:pt>
                <c:pt idx="2">
                  <c:v>1980</c:v>
                </c:pt>
                <c:pt idx="3">
                  <c:v>1990</c:v>
                </c:pt>
                <c:pt idx="4">
                  <c:v>2000</c:v>
                </c:pt>
                <c:pt idx="5">
                  <c:v>2010</c:v>
                </c:pt>
                <c:pt idx="6">
                  <c:v>2020</c:v>
                </c:pt>
                <c:pt idx="7">
                  <c:v>2030</c:v>
                </c:pt>
                <c:pt idx="8">
                  <c:v>2040</c:v>
                </c:pt>
                <c:pt idx="9">
                  <c:v>2050</c:v>
                </c:pt>
              </c:numCache>
            </c:numRef>
          </c:cat>
          <c:val>
            <c:numRef>
              <c:f>'65+'!$B$2:$B$11</c:f>
              <c:numCache>
                <c:formatCode>#,##0</c:formatCode>
                <c:ptCount val="10"/>
                <c:pt idx="0">
                  <c:v>50730</c:v>
                </c:pt>
                <c:pt idx="1">
                  <c:v>62251</c:v>
                </c:pt>
                <c:pt idx="2">
                  <c:v>75885</c:v>
                </c:pt>
                <c:pt idx="3">
                  <c:v>89553</c:v>
                </c:pt>
                <c:pt idx="4">
                  <c:v>93982</c:v>
                </c:pt>
                <c:pt idx="5">
                  <c:v>99095</c:v>
                </c:pt>
                <c:pt idx="6">
                  <c:v>131174</c:v>
                </c:pt>
                <c:pt idx="7" formatCode="General">
                  <c:v>159756</c:v>
                </c:pt>
                <c:pt idx="8">
                  <c:v>159635</c:v>
                </c:pt>
                <c:pt idx="9">
                  <c:v>155579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52-4427-9379-559CC9547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overlap val="-27"/>
        <c:axId val="1203806735"/>
        <c:axId val="1203804335"/>
      </c:barChart>
      <c:lineChart>
        <c:grouping val="standard"/>
        <c:varyColors val="0"/>
        <c:ser>
          <c:idx val="1"/>
          <c:order val="1"/>
          <c:tx>
            <c:strRef>
              <c:f>'65+'!$C$1</c:f>
              <c:strCache>
                <c:ptCount val="1"/>
                <c:pt idx="0">
                  <c:v>Percent </c:v>
                </c:pt>
              </c:strCache>
            </c:strRef>
          </c:tx>
          <c:spPr>
            <a:ln w="28575" cap="rnd">
              <a:solidFill>
                <a:srgbClr val="8B0154"/>
              </a:solidFill>
              <a:round/>
            </a:ln>
            <a:effectLst/>
          </c:spPr>
          <c:marker>
            <c:symbol val="none"/>
          </c:marker>
          <c:cat>
            <c:numRef>
              <c:f>'65+'!$A$2:$A$11</c:f>
              <c:numCache>
                <c:formatCode>General</c:formatCode>
                <c:ptCount val="10"/>
                <c:pt idx="0">
                  <c:v>1960</c:v>
                </c:pt>
                <c:pt idx="1">
                  <c:v>1970</c:v>
                </c:pt>
                <c:pt idx="2">
                  <c:v>1980</c:v>
                </c:pt>
                <c:pt idx="3">
                  <c:v>1990</c:v>
                </c:pt>
                <c:pt idx="4">
                  <c:v>2000</c:v>
                </c:pt>
                <c:pt idx="5">
                  <c:v>2010</c:v>
                </c:pt>
                <c:pt idx="6">
                  <c:v>2020</c:v>
                </c:pt>
                <c:pt idx="7">
                  <c:v>2030</c:v>
                </c:pt>
                <c:pt idx="8">
                  <c:v>2040</c:v>
                </c:pt>
                <c:pt idx="9">
                  <c:v>2050</c:v>
                </c:pt>
              </c:numCache>
            </c:numRef>
          </c:cat>
          <c:val>
            <c:numRef>
              <c:f>'65+'!$C$2:$C$11</c:f>
              <c:numCache>
                <c:formatCode>General</c:formatCode>
                <c:ptCount val="10"/>
                <c:pt idx="0">
                  <c:v>8.3035025951514602E-2</c:v>
                </c:pt>
                <c:pt idx="1">
                  <c:v>8.9291246873063598E-2</c:v>
                </c:pt>
                <c:pt idx="2">
                  <c:v>0.110894344585708</c:v>
                </c:pt>
                <c:pt idx="3">
                  <c:v>0.13456296674730661</c:v>
                </c:pt>
                <c:pt idx="4">
                  <c:v>0.13549806517840149</c:v>
                </c:pt>
                <c:pt idx="5">
                  <c:v>0.13371412070770861</c:v>
                </c:pt>
                <c:pt idx="6">
                  <c:v>0.1675340913880371</c:v>
                </c:pt>
                <c:pt idx="7">
                  <c:v>0.19676880195394239</c:v>
                </c:pt>
                <c:pt idx="8">
                  <c:v>0.1929051600483849</c:v>
                </c:pt>
                <c:pt idx="9">
                  <c:v>0.18560861836532611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52-4427-9379-559CC9547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3790415"/>
        <c:axId val="1203797135"/>
      </c:lineChart>
      <c:catAx>
        <c:axId val="120380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804335"/>
        <c:crosses val="autoZero"/>
        <c:auto val="1"/>
        <c:lblAlgn val="ctr"/>
        <c:lblOffset val="100"/>
        <c:noMultiLvlLbl val="0"/>
      </c:catAx>
      <c:valAx>
        <c:axId val="1203804335"/>
        <c:scaling>
          <c:orientation val="minMax"/>
          <c:max val="1850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806735"/>
        <c:crosses val="autoZero"/>
        <c:crossBetween val="between"/>
      </c:valAx>
      <c:valAx>
        <c:axId val="1203797135"/>
        <c:scaling>
          <c:orientation val="minMax"/>
          <c:max val="0.2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790415"/>
        <c:crosses val="max"/>
        <c:crossBetween val="between"/>
        <c:majorUnit val="4.0000000000000008E-2"/>
      </c:valAx>
      <c:catAx>
        <c:axId val="12037904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37971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Montserrat" panose="00000500000000000000" pitchFamily="2" charset="0"/>
              </a:rPr>
              <a:t>Populaton and Percent of Population Aged 80 or Older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'80+'!$B$1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0154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44015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'80+'!$A$2:$A$11</c:f>
              <c:numCache>
                <c:formatCode>General</c:formatCode>
                <c:ptCount val="10"/>
                <c:pt idx="0">
                  <c:v>1960</c:v>
                </c:pt>
                <c:pt idx="1">
                  <c:v>1970</c:v>
                </c:pt>
                <c:pt idx="2">
                  <c:v>1980</c:v>
                </c:pt>
                <c:pt idx="3">
                  <c:v>1990</c:v>
                </c:pt>
                <c:pt idx="4">
                  <c:v>2000</c:v>
                </c:pt>
                <c:pt idx="5">
                  <c:v>2010</c:v>
                </c:pt>
                <c:pt idx="6">
                  <c:v>2020</c:v>
                </c:pt>
                <c:pt idx="7">
                  <c:v>2030</c:v>
                </c:pt>
                <c:pt idx="8">
                  <c:v>2040</c:v>
                </c:pt>
                <c:pt idx="9">
                  <c:v>2050</c:v>
                </c:pt>
              </c:numCache>
            </c:numRef>
          </c:cat>
          <c:val>
            <c:numRef>
              <c:f>'80+'!$B$2:$B$11</c:f>
              <c:numCache>
                <c:formatCode>General</c:formatCode>
                <c:ptCount val="10"/>
                <c:pt idx="0">
                  <c:v>8263</c:v>
                </c:pt>
                <c:pt idx="1">
                  <c:v>11297</c:v>
                </c:pt>
                <c:pt idx="2">
                  <c:v>15198</c:v>
                </c:pt>
                <c:pt idx="3">
                  <c:v>20420</c:v>
                </c:pt>
                <c:pt idx="4">
                  <c:v>23692</c:v>
                </c:pt>
                <c:pt idx="5">
                  <c:v>29506</c:v>
                </c:pt>
                <c:pt idx="6">
                  <c:v>29658</c:v>
                </c:pt>
                <c:pt idx="7">
                  <c:v>38967</c:v>
                </c:pt>
                <c:pt idx="8">
                  <c:v>49916</c:v>
                </c:pt>
                <c:pt idx="9">
                  <c:v>49390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8-4AB0-B144-A6CF2D585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overlap val="-27"/>
        <c:axId val="1965904063"/>
        <c:axId val="1965904543"/>
      </c:barChart>
      <c:lineChart>
        <c:grouping val="standard"/>
        <c:varyColors val="0"/>
        <c:ser>
          <c:idx val="1"/>
          <c:order val="1"/>
          <c:tx>
            <c:strRef>
              <c:f>'80+'!$C$1</c:f>
              <c:strCache>
                <c:ptCount val="1"/>
                <c:pt idx="0">
                  <c:v>Percent</c:v>
                </c:pt>
              </c:strCache>
            </c:strRef>
          </c:tx>
          <c:spPr>
            <a:ln w="28575" cap="rnd">
              <a:solidFill>
                <a:srgbClr val="8B0154"/>
              </a:solidFill>
              <a:round/>
            </a:ln>
            <a:effectLst/>
          </c:spPr>
          <c:marker>
            <c:symbol val="none"/>
          </c:marker>
          <c:cat>
            <c:numRef>
              <c:f>'80+'!$A$2:$A$11</c:f>
              <c:numCache>
                <c:formatCode>General</c:formatCode>
                <c:ptCount val="10"/>
                <c:pt idx="0">
                  <c:v>1960</c:v>
                </c:pt>
                <c:pt idx="1">
                  <c:v>1970</c:v>
                </c:pt>
                <c:pt idx="2">
                  <c:v>1980</c:v>
                </c:pt>
                <c:pt idx="3">
                  <c:v>1990</c:v>
                </c:pt>
                <c:pt idx="4">
                  <c:v>2000</c:v>
                </c:pt>
                <c:pt idx="5">
                  <c:v>2010</c:v>
                </c:pt>
                <c:pt idx="6">
                  <c:v>2020</c:v>
                </c:pt>
                <c:pt idx="7">
                  <c:v>2030</c:v>
                </c:pt>
                <c:pt idx="8">
                  <c:v>2040</c:v>
                </c:pt>
                <c:pt idx="9">
                  <c:v>2050</c:v>
                </c:pt>
              </c:numCache>
            </c:numRef>
          </c:cat>
          <c:val>
            <c:numRef>
              <c:f>'80+'!$C$2:$C$11</c:f>
              <c:numCache>
                <c:formatCode>General</c:formatCode>
                <c:ptCount val="10"/>
                <c:pt idx="0">
                  <c:v>1.3524904778974282E-2</c:v>
                </c:pt>
                <c:pt idx="1">
                  <c:v>1.6204128703554952E-2</c:v>
                </c:pt>
                <c:pt idx="2">
                  <c:v>2.2209557211749234E-2</c:v>
                </c:pt>
                <c:pt idx="3">
                  <c:v>3.0683235413442322E-2</c:v>
                </c:pt>
                <c:pt idx="4">
                  <c:v>3.4157819159059057E-2</c:v>
                </c:pt>
                <c:pt idx="5">
                  <c:v>3.9814005203104588E-2</c:v>
                </c:pt>
                <c:pt idx="6">
                  <c:v>3.7878894311269028E-2</c:v>
                </c:pt>
                <c:pt idx="7">
                  <c:v>4.7995004292416397E-2</c:v>
                </c:pt>
                <c:pt idx="8">
                  <c:v>6.0319190459330201E-2</c:v>
                </c:pt>
                <c:pt idx="9">
                  <c:v>5.8923181541618401E-2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18-4AB0-B144-A6CF2D585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6917807"/>
        <c:axId val="1816919247"/>
      </c:lineChart>
      <c:catAx>
        <c:axId val="196590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904543"/>
        <c:crosses val="autoZero"/>
        <c:auto val="1"/>
        <c:lblAlgn val="ctr"/>
        <c:lblOffset val="100"/>
        <c:noMultiLvlLbl val="0"/>
      </c:catAx>
      <c:valAx>
        <c:axId val="196590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904063"/>
        <c:crosses val="autoZero"/>
        <c:crossBetween val="between"/>
      </c:valAx>
      <c:valAx>
        <c:axId val="1816919247"/>
        <c:scaling>
          <c:orientation val="minMax"/>
          <c:max val="6.2000000000000013E-2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917807"/>
        <c:crosses val="max"/>
        <c:crossBetween val="between"/>
      </c:valAx>
      <c:catAx>
        <c:axId val="18169178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6919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 and Percent of Population with Ambulatory Disability</a:t>
            </a:r>
          </a:p>
        </c:rich>
      </c:tx>
      <c:layout>
        <c:manualLayout>
          <c:xMode val="edge"/>
          <c:yMode val="edge"/>
          <c:x val="0.13332633420822398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'Disability 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0154"/>
            </a:solidFill>
            <a:ln>
              <a:noFill/>
            </a:ln>
            <a:effectLst/>
          </c:spPr>
          <c:invertIfNegative val="0"/>
          <c:cat>
            <c:numRef>
              <c:f>'Disability '!$A$2:$A$10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'Disability '!$B$2:$B$10</c:f>
              <c:numCache>
                <c:formatCode>General</c:formatCode>
                <c:ptCount val="9"/>
                <c:pt idx="0">
                  <c:v>67606</c:v>
                </c:pt>
                <c:pt idx="1">
                  <c:v>61062</c:v>
                </c:pt>
                <c:pt idx="2">
                  <c:v>56277</c:v>
                </c:pt>
                <c:pt idx="3">
                  <c:v>67589.06</c:v>
                </c:pt>
                <c:pt idx="4">
                  <c:v>70608.06</c:v>
                </c:pt>
                <c:pt idx="5">
                  <c:v>72764.899999999994</c:v>
                </c:pt>
                <c:pt idx="6">
                  <c:v>74337.47</c:v>
                </c:pt>
                <c:pt idx="7">
                  <c:v>75212.52</c:v>
                </c:pt>
                <c:pt idx="8">
                  <c:v>74869.179999999993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6-42D1-868B-20C94B5C4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5258863"/>
        <c:axId val="925262223"/>
      </c:barChart>
      <c:lineChart>
        <c:grouping val="standard"/>
        <c:varyColors val="0"/>
        <c:ser>
          <c:idx val="1"/>
          <c:order val="1"/>
          <c:tx>
            <c:strRef>
              <c:f>'Disability '!$C$1</c:f>
              <c:strCache>
                <c:ptCount val="1"/>
                <c:pt idx="0">
                  <c:v>Percent</c:v>
                </c:pt>
              </c:strCache>
            </c:strRef>
          </c:tx>
          <c:spPr>
            <a:ln w="28575" cap="rnd">
              <a:solidFill>
                <a:srgbClr val="8B0154"/>
              </a:solidFill>
              <a:round/>
            </a:ln>
            <a:effectLst/>
          </c:spPr>
          <c:marker>
            <c:symbol val="none"/>
          </c:marker>
          <c:cat>
            <c:numRef>
              <c:f>'Disability '!$A$2:$A$10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'Disability '!$C$2:$C$10</c:f>
              <c:numCache>
                <c:formatCode>General</c:formatCode>
                <c:ptCount val="9"/>
                <c:pt idx="0">
                  <c:v>9.7556119999999993</c:v>
                </c:pt>
                <c:pt idx="1">
                  <c:v>8.5234389999999998</c:v>
                </c:pt>
                <c:pt idx="2">
                  <c:v>7.7016239999999998</c:v>
                </c:pt>
                <c:pt idx="3">
                  <c:v>8.4649380000000001</c:v>
                </c:pt>
                <c:pt idx="4">
                  <c:v>8.6966769999999993</c:v>
                </c:pt>
                <c:pt idx="5">
                  <c:v>8.8602290000000004</c:v>
                </c:pt>
                <c:pt idx="6">
                  <c:v>8.9830430000000003</c:v>
                </c:pt>
                <c:pt idx="7">
                  <c:v>9.0366429999999998</c:v>
                </c:pt>
                <c:pt idx="8">
                  <c:v>8.9320310000000003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16-42D1-868B-20C94B5C4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5568463"/>
        <c:axId val="535564623"/>
      </c:lineChart>
      <c:catAx>
        <c:axId val="92525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262223"/>
        <c:crosses val="autoZero"/>
        <c:auto val="1"/>
        <c:lblAlgn val="ctr"/>
        <c:lblOffset val="100"/>
        <c:tickMarkSkip val="5"/>
        <c:noMultiLvlLbl val="0"/>
      </c:catAx>
      <c:valAx>
        <c:axId val="925262223"/>
        <c:scaling>
          <c:orientation val="minMax"/>
          <c:max val="9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258863"/>
        <c:crossesAt val="1"/>
        <c:crossBetween val="between"/>
      </c:valAx>
      <c:valAx>
        <c:axId val="535564623"/>
        <c:scaling>
          <c:orientation val="minMax"/>
          <c:max val="10"/>
        </c:scaling>
        <c:delete val="0"/>
        <c:axPos val="r"/>
        <c:numFmt formatCode="0\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568463"/>
        <c:crosses val="max"/>
        <c:crossBetween val="between"/>
      </c:valAx>
      <c:catAx>
        <c:axId val="5355684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55646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536575</xdr:colOff>
      <xdr:row>0</xdr:row>
      <xdr:rowOff>184150</xdr:rowOff>
    </xdr:from>
    <xdr:to>
      <xdr:col>12</xdr:col>
      <xdr:colOff>292100</xdr:colOff>
      <xdr:row>22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A9670B-0277-D884-8A94-9DBFF63D5F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762000</xdr:colOff>
      <xdr:row>1</xdr:row>
      <xdr:rowOff>114300</xdr:rowOff>
    </xdr:from>
    <xdr:to>
      <xdr:col>11</xdr:col>
      <xdr:colOff>400050</xdr:colOff>
      <xdr:row>21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660C96-77EB-4133-A2BC-DFCCCC8B90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581024</xdr:colOff>
      <xdr:row>0</xdr:row>
      <xdr:rowOff>171450</xdr:rowOff>
    </xdr:from>
    <xdr:to>
      <xdr:col>10</xdr:col>
      <xdr:colOff>857250</xdr:colOff>
      <xdr:row>20</xdr:row>
      <xdr:rowOff>6350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7D5CD46-A645-DCAF-6982-FDB3CC5B27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rgan Burch" id="{C39195F3-B086-47FA-9B67-62E000C39AF7}" userId="S::morganb@cflouisville.org::f0555098-e019-4340-a48f-6d178a9b1bbb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ustom 1">
      <a:majorFont>
        <a:latin typeface="Cambria"/>
        <a:ea typeface=""/>
        <a:cs typeface=""/>
      </a:majorFont>
      <a:minorFont>
        <a:latin typeface="Montserrat"/>
        <a:ea typeface=""/>
        <a:cs typeface="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2-24T14:22:09.78" personId="{C39195F3-B086-47FA-9B67-62E000C39AF7}" id="{95EB8E35-9BDE-4A44-A495-9FCAC26A2EFF}">
    <text>65 Plus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6.5" x14ac:dyDescent="0.45"/>
  <sheetData>
    <row r="1" spans="1:3" s="1" customFormat="1" x14ac:dyDescent="0.45">
      <c r="B1" s="1" t="s">
        <v>1</v>
      </c>
      <c r="C1" s="1" t="s">
        <v>2</v>
      </c>
    </row>
    <row r="2" spans="1:3" x14ac:dyDescent="0.45">
      <c r="A2">
        <v>1960</v>
      </c>
      <c r="B2" s="2">
        <v>50730</v>
      </c>
      <c r="C2">
        <v>8.3035025951514602E-2</v>
      </c>
    </row>
    <row r="3" spans="1:3" x14ac:dyDescent="0.45">
      <c r="A3">
        <v>1970</v>
      </c>
      <c r="B3" s="2">
        <v>62251</v>
      </c>
      <c r="C3">
        <v>8.9291246873063598E-2</v>
      </c>
    </row>
    <row r="4" spans="1:3" x14ac:dyDescent="0.45">
      <c r="A4">
        <v>1980</v>
      </c>
      <c r="B4" s="2">
        <v>75885</v>
      </c>
      <c r="C4">
        <v>0.110894344585708</v>
      </c>
    </row>
    <row r="5" spans="1:3" x14ac:dyDescent="0.45">
      <c r="A5">
        <v>1990</v>
      </c>
      <c r="B5" s="2">
        <v>89553</v>
      </c>
      <c r="C5">
        <v>0.13456296674730661</v>
      </c>
    </row>
    <row r="6" spans="1:3" x14ac:dyDescent="0.45">
      <c r="A6">
        <v>2000</v>
      </c>
      <c r="B6" s="2">
        <v>93982</v>
      </c>
      <c r="C6">
        <v>0.13549806517840149</v>
      </c>
    </row>
    <row r="7" spans="1:3" x14ac:dyDescent="0.45">
      <c r="A7">
        <v>2010</v>
      </c>
      <c r="B7" s="2">
        <v>99095</v>
      </c>
      <c r="C7">
        <v>0.13371412070770861</v>
      </c>
    </row>
    <row r="8" spans="1:3" x14ac:dyDescent="0.45">
      <c r="A8">
        <v>2020</v>
      </c>
      <c r="B8" s="2">
        <v>131174</v>
      </c>
      <c r="C8">
        <v>0.1675340913880371</v>
      </c>
    </row>
    <row r="9" spans="1:3" x14ac:dyDescent="0.45">
      <c r="A9">
        <v>2030</v>
      </c>
      <c r="B9">
        <v>159756</v>
      </c>
      <c r="C9">
        <v>0.19676880195394239</v>
      </c>
    </row>
    <row r="10" spans="1:3" x14ac:dyDescent="0.45">
      <c r="A10">
        <v>2040</v>
      </c>
      <c r="B10" s="2">
        <v>159635</v>
      </c>
      <c r="C10">
        <v>0.1929051600483849</v>
      </c>
    </row>
    <row r="11" spans="1:3" x14ac:dyDescent="0.45">
      <c r="A11">
        <v>2050</v>
      </c>
      <c r="B11" s="2">
        <v>155579</v>
      </c>
      <c r="C11">
        <v>0.18560861836532611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70BB9-D8CA-49B6-A55E-53DC079A97F7}">
  <dimension ref="A1:C11"/>
  <sheetViews>
    <sheetView tabSelected="1" workbookViewId="0">
      <selection activeCell="C14" sqref="C14"/>
    </sheetView>
  </sheetViews>
  <sheetFormatPr defaultRowHeight="16.5" x14ac:dyDescent="0.45"/>
  <sheetData>
    <row r="1" spans="1:3" x14ac:dyDescent="0.45">
      <c r="A1" s="3"/>
      <c r="B1" s="3" t="s">
        <v>1</v>
      </c>
      <c r="C1" s="3" t="s">
        <v>0</v>
      </c>
    </row>
    <row r="2" spans="1:3" x14ac:dyDescent="0.45">
      <c r="A2">
        <v>1960</v>
      </c>
      <c r="B2">
        <v>8263</v>
      </c>
      <c r="C2">
        <v>1.3524904778974282E-2</v>
      </c>
    </row>
    <row r="3" spans="1:3" x14ac:dyDescent="0.45">
      <c r="A3">
        <v>1970</v>
      </c>
      <c r="B3">
        <v>11297</v>
      </c>
      <c r="C3">
        <v>1.6204128703554952E-2</v>
      </c>
    </row>
    <row r="4" spans="1:3" x14ac:dyDescent="0.45">
      <c r="A4">
        <v>1980</v>
      </c>
      <c r="B4">
        <v>15198</v>
      </c>
      <c r="C4">
        <v>2.2209557211749234E-2</v>
      </c>
    </row>
    <row r="5" spans="1:3" x14ac:dyDescent="0.45">
      <c r="A5">
        <v>1990</v>
      </c>
      <c r="B5">
        <v>20420</v>
      </c>
      <c r="C5">
        <v>3.0683235413442322E-2</v>
      </c>
    </row>
    <row r="6" spans="1:3" x14ac:dyDescent="0.45">
      <c r="A6">
        <v>2000</v>
      </c>
      <c r="B6">
        <v>23692</v>
      </c>
      <c r="C6">
        <v>3.4157819159059057E-2</v>
      </c>
    </row>
    <row r="7" spans="1:3" x14ac:dyDescent="0.45">
      <c r="A7">
        <v>2010</v>
      </c>
      <c r="B7">
        <v>29506</v>
      </c>
      <c r="C7">
        <v>3.9814005203104588E-2</v>
      </c>
    </row>
    <row r="8" spans="1:3" x14ac:dyDescent="0.45">
      <c r="A8">
        <v>2020</v>
      </c>
      <c r="B8">
        <v>29658</v>
      </c>
      <c r="C8">
        <v>3.7878894311269028E-2</v>
      </c>
    </row>
    <row r="9" spans="1:3" x14ac:dyDescent="0.45">
      <c r="A9">
        <v>2030</v>
      </c>
      <c r="B9">
        <v>38967</v>
      </c>
      <c r="C9">
        <v>4.7995004292416397E-2</v>
      </c>
    </row>
    <row r="10" spans="1:3" x14ac:dyDescent="0.45">
      <c r="A10">
        <v>2040</v>
      </c>
      <c r="B10">
        <v>49916</v>
      </c>
      <c r="C10">
        <v>6.0319190459330201E-2</v>
      </c>
    </row>
    <row r="11" spans="1:3" x14ac:dyDescent="0.45">
      <c r="A11">
        <v>2050</v>
      </c>
      <c r="B11">
        <v>49390</v>
      </c>
      <c r="C11">
        <v>5.8923181541618401E-2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A5978-EAA4-4A7D-9DA4-2F61F366B969}">
  <dimension ref="A1:C10"/>
  <sheetViews>
    <sheetView workbookViewId="0"/>
  </sheetViews>
  <sheetFormatPr defaultRowHeight="16.5" x14ac:dyDescent="0.45"/>
  <sheetData>
    <row r="1" spans="1:3" x14ac:dyDescent="0.45">
      <c r="A1" s="3"/>
      <c r="B1" s="3" t="s">
        <v>1</v>
      </c>
      <c r="C1" s="3" t="s">
        <v>0</v>
      </c>
    </row>
    <row r="2" spans="1:3" x14ac:dyDescent="0.45">
      <c r="A2">
        <v>2010</v>
      </c>
      <c r="B2">
        <v>67606</v>
      </c>
      <c r="C2">
        <v>9.7556119999999993</v>
      </c>
    </row>
    <row r="3" spans="1:3" x14ac:dyDescent="0.45">
      <c r="A3">
        <v>2015</v>
      </c>
      <c r="B3">
        <v>61062</v>
      </c>
      <c r="C3">
        <v>8.5234389999999998</v>
      </c>
    </row>
    <row r="4" spans="1:3" x14ac:dyDescent="0.45">
      <c r="A4">
        <v>2020</v>
      </c>
      <c r="B4">
        <v>56277</v>
      </c>
      <c r="C4">
        <v>7.7016239999999998</v>
      </c>
    </row>
    <row r="5" spans="1:3" x14ac:dyDescent="0.45">
      <c r="A5">
        <v>2025</v>
      </c>
      <c r="B5">
        <v>67589.06</v>
      </c>
      <c r="C5">
        <v>8.4649380000000001</v>
      </c>
    </row>
    <row r="6" spans="1:3" x14ac:dyDescent="0.45">
      <c r="A6">
        <v>2030</v>
      </c>
      <c r="B6">
        <v>70608.06</v>
      </c>
      <c r="C6">
        <v>8.6966769999999993</v>
      </c>
    </row>
    <row r="7" spans="1:3" x14ac:dyDescent="0.45">
      <c r="A7">
        <v>2035</v>
      </c>
      <c r="B7">
        <v>72764.899999999994</v>
      </c>
      <c r="C7">
        <v>8.8602290000000004</v>
      </c>
    </row>
    <row r="8" spans="1:3" x14ac:dyDescent="0.45">
      <c r="A8">
        <v>2040</v>
      </c>
      <c r="B8">
        <v>74337.47</v>
      </c>
      <c r="C8">
        <v>8.9830430000000003</v>
      </c>
    </row>
    <row r="9" spans="1:3" x14ac:dyDescent="0.45">
      <c r="A9">
        <v>2045</v>
      </c>
      <c r="B9">
        <v>75212.52</v>
      </c>
      <c r="C9">
        <v>9.0366429999999998</v>
      </c>
    </row>
    <row r="10" spans="1:3" x14ac:dyDescent="0.45">
      <c r="A10">
        <v>2050</v>
      </c>
      <c r="B10">
        <v>74869.179999999993</v>
      </c>
      <c r="C10">
        <v>8.9320310000000003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65+</vt:lpstr>
      <vt:lpstr>80+</vt:lpstr>
      <vt:lpstr>Disability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Morgan Burch</cp:lastModifiedBy>
  <cp:lastPrinted>2025-11-19T19:46:57Z</cp:lastPrinted>
  <dcterms:created xsi:type="dcterms:W3CDTF">2025-11-19T19:20:02Z</dcterms:created>
  <dcterms:modified xsi:type="dcterms:W3CDTF">2026-02-24T15:05:45Z</dcterms:modified>
</cp:coreProperties>
</file>