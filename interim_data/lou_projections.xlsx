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louisville-my.sharepoint.com/personal/morganb_cflouisville_org/Documents/accessible_housing/interim_data/"/>
    </mc:Choice>
  </mc:AlternateContent>
  <xr:revisionPtr revIDLastSave="142" documentId="11_4E63FDCE8F79A8D366075C52F3825A75744ECACB" xr6:coauthVersionLast="47" xr6:coauthVersionMax="47" xr10:uidLastSave="{1265D5BE-A756-4F1A-A8ED-16A846B12E7F}"/>
  <bookViews>
    <workbookView xWindow="870" yWindow="1900" windowWidth="8460" windowHeight="1045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7" i="1"/>
  <c r="N6" i="1"/>
  <c r="N5" i="1"/>
  <c r="N4" i="1"/>
  <c r="N3" i="1"/>
  <c r="N2" i="1"/>
  <c r="M7" i="1"/>
  <c r="M6" i="1"/>
  <c r="M5" i="1"/>
  <c r="M4" i="1"/>
  <c r="M2" i="1"/>
  <c r="I3" i="1"/>
  <c r="I6" i="1"/>
  <c r="I4" i="1"/>
  <c r="I5" i="1"/>
  <c r="I7" i="1"/>
  <c r="I2" i="1"/>
  <c r="K2" i="1" s="1"/>
  <c r="J2" i="1"/>
  <c r="J3" i="1"/>
  <c r="J4" i="1"/>
  <c r="J7" i="1"/>
  <c r="J5" i="1"/>
  <c r="J6" i="1"/>
  <c r="K7" i="1" l="1"/>
  <c r="K5" i="1"/>
  <c r="K6" i="1"/>
  <c r="K4" i="1"/>
  <c r="K3" i="1"/>
</calcChain>
</file>

<file path=xl/sharedStrings.xml><?xml version="1.0" encoding="utf-8"?>
<sst xmlns="http://schemas.openxmlformats.org/spreadsheetml/2006/main" count="13" uniqueCount="13">
  <si>
    <t>AGEGRP</t>
  </si>
  <si>
    <t>N2025</t>
  </si>
  <si>
    <t>N2030</t>
  </si>
  <si>
    <t>N2035</t>
  </si>
  <si>
    <t>N2040</t>
  </si>
  <si>
    <t>N2045</t>
  </si>
  <si>
    <t>N2050</t>
  </si>
  <si>
    <t>total_over_80</t>
  </si>
  <si>
    <t>pop_total</t>
  </si>
  <si>
    <t>year</t>
  </si>
  <si>
    <t>total_over_65</t>
  </si>
  <si>
    <t>percent_over_65</t>
  </si>
  <si>
    <t>percent_over_80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</si>
</sst>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13577-8A1C-4CAE-BE10-2DFEEA1AE369}" name="Table1" displayName="Table1" ref="H1:K7" totalsRowShown="0" headerRowDxfId="0">
  <autoFilter ref="H1:K7" xr:uid="{4BA13577-8A1C-4CAE-BE10-2DFEEA1AE369}"/>
  <tableColumns count="4">
    <tableColumn id="1" xr3:uid="{AE33FEE8-5EB8-422E-9485-F137D48A922B}" name="year"/>
    <tableColumn id="2" xr3:uid="{67B8EF7E-A62C-4F22-A175-CAF9B49EB8F5}" name="total_over_80"/>
    <tableColumn id="3" xr3:uid="{8727E03C-7600-4809-9370-D6A4DF2434CB}" name="pop_total"/>
    <tableColumn id="4" xr3:uid="{D13DD48C-8025-4223-9D87-E327089240ED}" name="percent_over_80">
      <calculatedColumnFormula xml:space="preserve"> I2/J2*100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H1" workbookViewId="0">
      <selection activeCell="M3" sqref="M3"/>
    </sheetView>
  </sheetViews>
  <sheetFormatPr defaultRowHeight="14.5" x14ac:dyDescent="0.35"/>
  <cols>
    <col min="9" max="9" width="14.54296875" customWidth="1"/>
    <col min="10" max="10" width="11.7265625" customWidth="1"/>
    <col min="11" max="11" width="9.2695312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1" t="s">
        <v>12</v>
      </c>
      <c r="M1" s="1" t="s">
        <v>10</v>
      </c>
      <c r="N1" s="1" t="s">
        <v>11</v>
      </c>
    </row>
    <row r="2" spans="1:14" x14ac:dyDescent="0.35">
      <c r="A2">
        <v>1</v>
      </c>
      <c r="B2">
        <v>51086</v>
      </c>
      <c r="C2">
        <v>51685</v>
      </c>
      <c r="D2">
        <v>51592</v>
      </c>
      <c r="E2">
        <v>51413</v>
      </c>
      <c r="F2">
        <v>51349</v>
      </c>
      <c r="G2">
        <v>51866</v>
      </c>
      <c r="H2">
        <v>2025</v>
      </c>
      <c r="I2">
        <f xml:space="preserve"> SUM(B18:B19)</f>
        <v>33172</v>
      </c>
      <c r="J2">
        <f xml:space="preserve"> SUM(B2:B19)</f>
        <v>798459</v>
      </c>
      <c r="K2">
        <f xml:space="preserve"> I2/J2*100</f>
        <v>4.1545026106537719</v>
      </c>
      <c r="M2">
        <f xml:space="preserve"> SUM(B15:B19)</f>
        <v>147365</v>
      </c>
      <c r="N2">
        <f xml:space="preserve"> M2/Table1[[#This Row],[pop_total]]*100</f>
        <v>18.456176209423404</v>
      </c>
    </row>
    <row r="3" spans="1:14" x14ac:dyDescent="0.35">
      <c r="A3">
        <v>2</v>
      </c>
      <c r="B3">
        <v>47254</v>
      </c>
      <c r="C3">
        <v>49655</v>
      </c>
      <c r="D3">
        <v>50237</v>
      </c>
      <c r="E3">
        <v>50149</v>
      </c>
      <c r="F3">
        <v>49975</v>
      </c>
      <c r="G3">
        <v>49915</v>
      </c>
      <c r="H3">
        <v>2030</v>
      </c>
      <c r="I3">
        <f xml:space="preserve"> SUM(C18:C19)</f>
        <v>38967</v>
      </c>
      <c r="J3">
        <f xml:space="preserve"> SUM(C2:C19)</f>
        <v>811897</v>
      </c>
      <c r="K3">
        <f t="shared" ref="K3:K7" si="0" xml:space="preserve"> I3/J3*100</f>
        <v>4.7995004292416406</v>
      </c>
      <c r="M3">
        <f xml:space="preserve"> SUM(C15:C19)</f>
        <v>159756</v>
      </c>
      <c r="N3">
        <f xml:space="preserve"> M3/Table1[[#This Row],[pop_total]]*100</f>
        <v>19.676880195394244</v>
      </c>
    </row>
    <row r="4" spans="1:14" x14ac:dyDescent="0.35">
      <c r="A4">
        <v>3</v>
      </c>
      <c r="B4">
        <v>47286</v>
      </c>
      <c r="C4">
        <v>47162</v>
      </c>
      <c r="D4">
        <v>49547</v>
      </c>
      <c r="E4">
        <v>50126</v>
      </c>
      <c r="F4">
        <v>50042</v>
      </c>
      <c r="G4">
        <v>49870</v>
      </c>
      <c r="H4">
        <v>2035</v>
      </c>
      <c r="I4">
        <f xml:space="preserve"> SUM(D18:D19)</f>
        <v>44921</v>
      </c>
      <c r="J4">
        <f xml:space="preserve"> SUM(D2:D19)</f>
        <v>821253</v>
      </c>
      <c r="K4">
        <f t="shared" si="0"/>
        <v>5.4698125912477646</v>
      </c>
      <c r="M4">
        <f xml:space="preserve"> SUM(D15:D19)</f>
        <v>160913</v>
      </c>
      <c r="N4">
        <f xml:space="preserve"> M4/Table1[[#This Row],[pop_total]]*100</f>
        <v>19.593596613954531</v>
      </c>
    </row>
    <row r="5" spans="1:14" x14ac:dyDescent="0.35">
      <c r="A5">
        <v>4</v>
      </c>
      <c r="B5">
        <v>46742</v>
      </c>
      <c r="C5">
        <v>46471</v>
      </c>
      <c r="D5">
        <v>46380</v>
      </c>
      <c r="E5">
        <v>48626</v>
      </c>
      <c r="F5">
        <v>49190</v>
      </c>
      <c r="G5">
        <v>49137</v>
      </c>
      <c r="H5">
        <v>2040</v>
      </c>
      <c r="I5">
        <f xml:space="preserve"> SUM(E18:E19)</f>
        <v>49916</v>
      </c>
      <c r="J5">
        <f xml:space="preserve"> SUM(E2:E19)</f>
        <v>827531</v>
      </c>
      <c r="K5">
        <f t="shared" si="0"/>
        <v>6.0319190459330221</v>
      </c>
      <c r="M5">
        <f xml:space="preserve"> SUM(E15:E19)</f>
        <v>159635</v>
      </c>
      <c r="N5">
        <f xml:space="preserve"> M5/Table1[[#This Row],[pop_total]]*100</f>
        <v>19.290516004838491</v>
      </c>
    </row>
    <row r="6" spans="1:14" x14ac:dyDescent="0.35">
      <c r="A6">
        <v>5</v>
      </c>
      <c r="B6">
        <v>49071</v>
      </c>
      <c r="C6">
        <v>48916</v>
      </c>
      <c r="D6">
        <v>48628</v>
      </c>
      <c r="E6">
        <v>48525</v>
      </c>
      <c r="F6">
        <v>50898</v>
      </c>
      <c r="G6">
        <v>51490</v>
      </c>
      <c r="H6">
        <v>2045</v>
      </c>
      <c r="I6">
        <f xml:space="preserve"> SUM(F18:F19)</f>
        <v>52044</v>
      </c>
      <c r="J6">
        <f xml:space="preserve"> SUM(F2:F19)</f>
        <v>832306</v>
      </c>
      <c r="K6">
        <f t="shared" si="0"/>
        <v>6.252988684450191</v>
      </c>
      <c r="M6">
        <f>SUM(F15:F19)</f>
        <v>156020</v>
      </c>
      <c r="N6">
        <f xml:space="preserve"> M6/Table1[[#This Row],[pop_total]]*100</f>
        <v>18.745509464067304</v>
      </c>
    </row>
    <row r="7" spans="1:14" x14ac:dyDescent="0.35">
      <c r="A7">
        <v>6</v>
      </c>
      <c r="B7">
        <v>57724</v>
      </c>
      <c r="C7">
        <v>58731</v>
      </c>
      <c r="D7">
        <v>58516</v>
      </c>
      <c r="E7">
        <v>58139</v>
      </c>
      <c r="F7">
        <v>57990</v>
      </c>
      <c r="G7">
        <v>60909</v>
      </c>
      <c r="H7">
        <v>2050</v>
      </c>
      <c r="I7">
        <f xml:space="preserve"> SUM(G18:G19)</f>
        <v>49390</v>
      </c>
      <c r="J7">
        <f xml:space="preserve"> SUM(G2:G19)</f>
        <v>838210</v>
      </c>
      <c r="K7">
        <f t="shared" si="0"/>
        <v>5.8923181541618446</v>
      </c>
      <c r="M7">
        <f xml:space="preserve"> SUM(G15:G19)</f>
        <v>155579</v>
      </c>
      <c r="N7">
        <f xml:space="preserve"> M7/Table1[[#This Row],[pop_total]]*100</f>
        <v>18.560861836532609</v>
      </c>
    </row>
    <row r="8" spans="1:14" x14ac:dyDescent="0.35">
      <c r="A8">
        <v>7</v>
      </c>
      <c r="B8">
        <v>59192</v>
      </c>
      <c r="C8">
        <v>56339</v>
      </c>
      <c r="D8">
        <v>57318</v>
      </c>
      <c r="E8">
        <v>57112</v>
      </c>
      <c r="F8">
        <v>56740</v>
      </c>
      <c r="G8">
        <v>56594</v>
      </c>
    </row>
    <row r="9" spans="1:14" x14ac:dyDescent="0.35">
      <c r="A9">
        <v>8</v>
      </c>
      <c r="B9">
        <v>53535</v>
      </c>
      <c r="C9">
        <v>57307</v>
      </c>
      <c r="D9">
        <v>54539</v>
      </c>
      <c r="E9">
        <v>55488</v>
      </c>
      <c r="F9">
        <v>55286</v>
      </c>
      <c r="G9">
        <v>54926</v>
      </c>
    </row>
    <row r="10" spans="1:14" x14ac:dyDescent="0.35">
      <c r="A10">
        <v>9</v>
      </c>
      <c r="B10">
        <v>49855</v>
      </c>
      <c r="C10">
        <v>51531</v>
      </c>
      <c r="D10">
        <v>55152</v>
      </c>
      <c r="E10">
        <v>52489</v>
      </c>
      <c r="F10">
        <v>53408</v>
      </c>
      <c r="G10">
        <v>53207</v>
      </c>
    </row>
    <row r="11" spans="1:14" x14ac:dyDescent="0.35">
      <c r="A11">
        <v>10</v>
      </c>
      <c r="B11">
        <v>46213</v>
      </c>
      <c r="C11">
        <v>49511</v>
      </c>
      <c r="D11">
        <v>51165</v>
      </c>
      <c r="E11">
        <v>54742</v>
      </c>
      <c r="F11">
        <v>52106</v>
      </c>
      <c r="G11">
        <v>53024</v>
      </c>
    </row>
    <row r="12" spans="1:14" x14ac:dyDescent="0.35">
      <c r="A12">
        <v>11</v>
      </c>
      <c r="B12">
        <v>46690</v>
      </c>
      <c r="C12">
        <v>45585</v>
      </c>
      <c r="D12">
        <v>48855</v>
      </c>
      <c r="E12">
        <v>50487</v>
      </c>
      <c r="F12">
        <v>54020</v>
      </c>
      <c r="G12">
        <v>51410</v>
      </c>
    </row>
    <row r="13" spans="1:14" x14ac:dyDescent="0.35">
      <c r="A13">
        <v>12</v>
      </c>
      <c r="B13">
        <v>45698</v>
      </c>
      <c r="C13">
        <v>45959</v>
      </c>
      <c r="D13">
        <v>44865</v>
      </c>
      <c r="E13">
        <v>48098</v>
      </c>
      <c r="F13">
        <v>49703</v>
      </c>
      <c r="G13">
        <v>53185</v>
      </c>
    </row>
    <row r="14" spans="1:14" x14ac:dyDescent="0.35">
      <c r="A14">
        <v>13</v>
      </c>
      <c r="B14">
        <v>50748</v>
      </c>
      <c r="C14">
        <v>43289</v>
      </c>
      <c r="D14">
        <v>43546</v>
      </c>
      <c r="E14">
        <v>42502</v>
      </c>
      <c r="F14">
        <v>45579</v>
      </c>
      <c r="G14">
        <v>47098</v>
      </c>
    </row>
    <row r="15" spans="1:14" x14ac:dyDescent="0.35">
      <c r="A15">
        <v>14</v>
      </c>
      <c r="B15">
        <v>47477</v>
      </c>
      <c r="C15">
        <v>46748</v>
      </c>
      <c r="D15">
        <v>39879</v>
      </c>
      <c r="E15">
        <v>40128</v>
      </c>
      <c r="F15">
        <v>39163</v>
      </c>
      <c r="G15">
        <v>42006</v>
      </c>
    </row>
    <row r="16" spans="1:14" x14ac:dyDescent="0.35">
      <c r="A16">
        <v>15</v>
      </c>
      <c r="B16">
        <v>38384</v>
      </c>
      <c r="C16">
        <v>41626</v>
      </c>
      <c r="D16">
        <v>40996</v>
      </c>
      <c r="E16">
        <v>34993</v>
      </c>
      <c r="F16">
        <v>35226</v>
      </c>
      <c r="G16">
        <v>34380</v>
      </c>
    </row>
    <row r="17" spans="1:7" x14ac:dyDescent="0.35">
      <c r="A17">
        <v>16</v>
      </c>
      <c r="B17">
        <v>28332</v>
      </c>
      <c r="C17">
        <v>32415</v>
      </c>
      <c r="D17">
        <v>35117</v>
      </c>
      <c r="E17">
        <v>34598</v>
      </c>
      <c r="F17">
        <v>29587</v>
      </c>
      <c r="G17">
        <v>29803</v>
      </c>
    </row>
    <row r="18" spans="1:7" x14ac:dyDescent="0.35">
      <c r="A18">
        <v>17</v>
      </c>
      <c r="B18">
        <v>16892</v>
      </c>
      <c r="C18">
        <v>21652</v>
      </c>
      <c r="D18">
        <v>24707</v>
      </c>
      <c r="E18">
        <v>26717</v>
      </c>
      <c r="F18">
        <v>26342</v>
      </c>
      <c r="G18">
        <v>22619</v>
      </c>
    </row>
    <row r="19" spans="1:7" x14ac:dyDescent="0.35">
      <c r="A19">
        <v>18</v>
      </c>
      <c r="B19">
        <v>16280</v>
      </c>
      <c r="C19">
        <v>17315</v>
      </c>
      <c r="D19">
        <v>20214</v>
      </c>
      <c r="E19">
        <v>23199</v>
      </c>
      <c r="F19">
        <v>25702</v>
      </c>
      <c r="G19">
        <v>26771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F14F-0C35-4641-A911-EC4E8397FC7C}">
  <dimension ref="A1"/>
  <sheetViews>
    <sheetView workbookViewId="0">
      <selection sqref="A1:D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CC6EC4-B167-4B42-A52A-737290364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Morgan Burch</cp:lastModifiedBy>
  <dcterms:created xsi:type="dcterms:W3CDTF">2025-11-19T14:04:13Z</dcterms:created>
  <dcterms:modified xsi:type="dcterms:W3CDTF">2025-11-20T14:37:00Z</dcterms:modified>
</cp:coreProperties>
</file>